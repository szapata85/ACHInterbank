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enari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Catálogos" sheetId="4" state="visible" r:id="rId4"/>
  </sheets>
  <definedNames>
    <definedName name="_xlnm._FilterDatabase" localSheetId="0" hidden="1">'Escenarios'!$A$1:$N$31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i val="1"/>
      <color rgb="00666666"/>
      <sz val="10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1" fillId="2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ChatGPT</author>
  </authors>
  <commentList>
    <comment ref="A1" authorId="0" shapeId="0">
      <text>
        <t>Diligenciar el estado y evidencia de cada escenario. No usar datos reales de asociados.</t>
      </text>
    </comment>
  </commentList>
</comments>
</file>

<file path=xl/tables/table1.xml><?xml version="1.0" encoding="utf-8"?>
<table xmlns="http://schemas.openxmlformats.org/spreadsheetml/2006/main" id="1" name="TablaEscenarios" displayName="TablaEscenarios" ref="A1:N31" headerRowCount="1">
  <autoFilter ref="A1:N31"/>
  <tableColumns count="14">
    <tableColumn id="1" name="ID"/>
    <tableColumn id="2" name="Módulo"/>
    <tableColumn id="3" name="Escenario"/>
    <tableColumn id="4" name="Precondiciones"/>
    <tableColumn id="5" name="Pasos"/>
    <tableColumn id="6" name="Datos de prueba"/>
    <tableColumn id="7" name="Resultado esperado"/>
    <tableColumn id="8" name="Prioridad"/>
    <tableColumn id="9" name="Responsable"/>
    <tableColumn id="10" name="Estado"/>
    <tableColumn id="11" name="Fecha prueba"/>
    <tableColumn id="12" name="Evidencia"/>
    <tableColumn id="13" name="Observaciones"/>
    <tableColumn id="14" name="Incidencia asoci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32" customWidth="1" min="4" max="4"/>
    <col width="42" customWidth="1" min="5" max="5"/>
    <col width="32" customWidth="1" min="6" max="6"/>
    <col width="42" customWidth="1" min="7" max="7"/>
    <col width="12" customWidth="1" min="8" max="8"/>
    <col width="18" customWidth="1" min="9" max="9"/>
    <col width="15" customWidth="1" min="10" max="10"/>
    <col width="14" customWidth="1" min="11" max="11"/>
    <col width="28" customWidth="1" min="12" max="12"/>
    <col width="35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Módulo</t>
        </is>
      </c>
      <c r="C1" s="1" t="inlineStr">
        <is>
          <t>Escenario</t>
        </is>
      </c>
      <c r="D1" s="1" t="inlineStr">
        <is>
          <t>Precondiciones</t>
        </is>
      </c>
      <c r="E1" s="1" t="inlineStr">
        <is>
          <t>Pasos</t>
        </is>
      </c>
      <c r="F1" s="1" t="inlineStr">
        <is>
          <t>Datos de prueba</t>
        </is>
      </c>
      <c r="G1" s="1" t="inlineStr">
        <is>
          <t>Resultado esperado</t>
        </is>
      </c>
      <c r="H1" s="1" t="inlineStr">
        <is>
          <t>Prioridad</t>
        </is>
      </c>
      <c r="I1" s="1" t="inlineStr">
        <is>
          <t>Responsable</t>
        </is>
      </c>
      <c r="J1" s="1" t="inlineStr">
        <is>
          <t>Estado</t>
        </is>
      </c>
      <c r="K1" s="1" t="inlineStr">
        <is>
          <t>Fecha prueba</t>
        </is>
      </c>
      <c r="L1" s="1" t="inlineStr">
        <is>
          <t>Evidencia</t>
        </is>
      </c>
      <c r="M1" s="1" t="inlineStr">
        <is>
          <t>Observaciones</t>
        </is>
      </c>
      <c r="N1" s="1" t="inlineStr">
        <is>
          <t>Incidencia asociada</t>
        </is>
      </c>
    </row>
    <row r="2" ht="70" customHeight="1">
      <c r="A2" s="2" t="inlineStr">
        <is>
          <t>PF-001</t>
        </is>
      </c>
      <c r="B2" s="2" t="inlineStr">
        <is>
          <t>Login y navegación</t>
        </is>
      </c>
      <c r="C2" s="2" t="inlineStr">
        <is>
          <t>Ingreso exitoso al sistema</t>
        </is>
      </c>
      <c r="D2" s="2" t="inlineStr">
        <is>
          <t>Sistema local disponible y credenciales de prueba autorizadas</t>
        </is>
      </c>
      <c r="E2" s="2" t="inlineStr">
        <is>
          <t>1. Abrir URL local.
2. Ingresar usuario y contraseña.
3. Presionar Ingresar.</t>
        </is>
      </c>
      <c r="F2" s="2" t="inlineStr">
        <is>
          <t>Usuario de prueba entregado por canal autorizado</t>
        </is>
      </c>
      <c r="G2" s="2" t="inlineStr">
        <is>
          <t>El sistema permite ingresar y muestra menú principal.</t>
        </is>
      </c>
      <c r="H2" s="2" t="inlineStr">
        <is>
          <t>Alta</t>
        </is>
      </c>
      <c r="I2" s="2" t="inlineStr"/>
      <c r="J2" s="2" t="inlineStr">
        <is>
          <t>Pendiente</t>
        </is>
      </c>
      <c r="K2" s="2" t="inlineStr"/>
      <c r="L2" s="2" t="inlineStr"/>
      <c r="M2" s="2" t="inlineStr"/>
      <c r="N2" s="2" t="inlineStr"/>
    </row>
    <row r="3" ht="70" customHeight="1">
      <c r="A3" s="2" t="inlineStr">
        <is>
          <t>PF-002</t>
        </is>
      </c>
      <c r="B3" s="2" t="inlineStr">
        <is>
          <t>Login y navegación</t>
        </is>
      </c>
      <c r="C3" s="2" t="inlineStr">
        <is>
          <t>Validación de credenciales incorrectas</t>
        </is>
      </c>
      <c r="D3" s="2" t="inlineStr">
        <is>
          <t>Sistema local disponible</t>
        </is>
      </c>
      <c r="E3" s="2" t="inlineStr">
        <is>
          <t>1. Abrir URL local.
2. Ingresar credenciales incorrectas.
3. Presionar Ingresar.</t>
        </is>
      </c>
      <c r="F3" s="2" t="inlineStr">
        <is>
          <t>Usuario inválido o contraseña inválida</t>
        </is>
      </c>
      <c r="G3" s="2" t="inlineStr">
        <is>
          <t>El sistema rechaza el ingreso y muestra mensaje claro.</t>
        </is>
      </c>
      <c r="H3" s="2" t="inlineStr">
        <is>
          <t>Media</t>
        </is>
      </c>
      <c r="I3" s="2" t="inlineStr"/>
      <c r="J3" s="2" t="inlineStr">
        <is>
          <t>Pendiente</t>
        </is>
      </c>
      <c r="K3" s="2" t="inlineStr"/>
      <c r="L3" s="2" t="inlineStr"/>
      <c r="M3" s="2" t="inlineStr"/>
      <c r="N3" s="2" t="inlineStr"/>
    </row>
    <row r="4" ht="70" customHeight="1">
      <c r="A4" s="2" t="inlineStr">
        <is>
          <t>PF-003</t>
        </is>
      </c>
      <c r="B4" s="2" t="inlineStr">
        <is>
          <t>Menú / navegación</t>
        </is>
      </c>
      <c r="C4" s="2" t="inlineStr">
        <is>
          <t>Visualización de menú principal</t>
        </is>
      </c>
      <c r="D4" s="2" t="inlineStr">
        <is>
          <t>Usuario autenticado</t>
        </is>
      </c>
      <c r="E4" s="2" t="inlineStr">
        <is>
          <t>1. Iniciar sesión.
2. Revisar opciones del menú.
3. Ingresar a cada módulo habilitado.</t>
        </is>
      </c>
      <c r="F4" s="2" t="inlineStr">
        <is>
          <t>Usuario de prueba</t>
        </is>
      </c>
      <c r="G4" s="2" t="inlineStr">
        <is>
          <t>El menú carga y permite navegar a opciones autorizadas.</t>
        </is>
      </c>
      <c r="H4" s="2" t="inlineStr">
        <is>
          <t>Alta</t>
        </is>
      </c>
      <c r="I4" s="2" t="inlineStr"/>
      <c r="J4" s="2" t="inlineStr">
        <is>
          <t>Pendiente</t>
        </is>
      </c>
      <c r="K4" s="2" t="inlineStr"/>
      <c r="L4" s="2" t="inlineStr"/>
      <c r="M4" s="2" t="inlineStr"/>
      <c r="N4" s="2" t="inlineStr"/>
    </row>
    <row r="5" ht="70" customHeight="1">
      <c r="A5" s="2" t="inlineStr">
        <is>
          <t>PF-004</t>
        </is>
      </c>
      <c r="B5" s="2" t="inlineStr">
        <is>
          <t>Cámaras de compensación</t>
        </is>
      </c>
      <c r="C5" s="2" t="inlineStr">
        <is>
          <t>Consultar cámaras disponibles</t>
        </is>
      </c>
      <c r="D5" s="2" t="inlineStr">
        <is>
          <t>Usuario autenticado</t>
        </is>
      </c>
      <c r="E5" s="2" t="inlineStr">
        <is>
          <t>1. Ingresar a cámaras.
2. Revisar registros.
3. Validar ACH Colombia y CENIT.</t>
        </is>
      </c>
      <c r="F5" s="2" t="inlineStr">
        <is>
          <t>N/A</t>
        </is>
      </c>
      <c r="G5" s="2" t="inlineStr">
        <is>
          <t>Se visualizan las cámaras disponibles de forma clara.</t>
        </is>
      </c>
      <c r="H5" s="2" t="inlineStr">
        <is>
          <t>Alta</t>
        </is>
      </c>
      <c r="I5" s="2" t="inlineStr"/>
      <c r="J5" s="2" t="inlineStr">
        <is>
          <t>Pendiente</t>
        </is>
      </c>
      <c r="K5" s="2" t="inlineStr"/>
      <c r="L5" s="2" t="inlineStr"/>
      <c r="M5" s="2" t="inlineStr"/>
      <c r="N5" s="2" t="inlineStr"/>
    </row>
    <row r="6" ht="70" customHeight="1">
      <c r="A6" s="2" t="inlineStr">
        <is>
          <t>PF-005</t>
        </is>
      </c>
      <c r="B6" s="2" t="inlineStr">
        <is>
          <t>Cámaras de compensación</t>
        </is>
      </c>
      <c r="C6" s="2" t="inlineStr">
        <is>
          <t>Validar separación funcional ACH Colombia / CENIT</t>
        </is>
      </c>
      <c r="D6" s="2" t="inlineStr">
        <is>
          <t>Cámaras cargadas</t>
        </is>
      </c>
      <c r="E6" s="2" t="inlineStr">
        <is>
          <t>1. Revisar filtros o detalles por cámara.
2. Comparar información visible.</t>
        </is>
      </c>
      <c r="F6" s="2" t="inlineStr">
        <is>
          <t>ACH Colombia y CENIT</t>
        </is>
      </c>
      <c r="G6" s="2" t="inlineStr">
        <is>
          <t>La información se muestra separada y no se mezclan datos entre cámaras.</t>
        </is>
      </c>
      <c r="H6" s="2" t="inlineStr">
        <is>
          <t>Alta</t>
        </is>
      </c>
      <c r="I6" s="2" t="inlineStr"/>
      <c r="J6" s="2" t="inlineStr">
        <is>
          <t>Pendiente</t>
        </is>
      </c>
      <c r="K6" s="2" t="inlineStr"/>
      <c r="L6" s="2" t="inlineStr"/>
      <c r="M6" s="2" t="inlineStr"/>
      <c r="N6" s="2" t="inlineStr"/>
    </row>
    <row r="7" ht="70" customHeight="1">
      <c r="A7" s="2" t="inlineStr">
        <is>
          <t>PF-006</t>
        </is>
      </c>
      <c r="B7" s="2" t="inlineStr">
        <is>
          <t>Entidades financieras</t>
        </is>
      </c>
      <c r="C7" s="2" t="inlineStr">
        <is>
          <t>Consultar entidad CFA y entidades externas</t>
        </is>
      </c>
      <c r="D7" s="2" t="inlineStr">
        <is>
          <t>Usuario autenticado</t>
        </is>
      </c>
      <c r="E7" s="2" t="inlineStr">
        <is>
          <t>1. Ingresar a entidades financieras.
2. Buscar CFA.
3. Buscar una entidad externa de prueba.</t>
        </is>
      </c>
      <c r="F7" s="2" t="inlineStr">
        <is>
          <t>CFA Cooperativa Financiera y entidad externa de prueba</t>
        </is>
      </c>
      <c r="G7" s="2" t="inlineStr">
        <is>
          <t>Las entidades se consultan correctamente y se distinguen origen/destino según flujo.</t>
        </is>
      </c>
      <c r="H7" s="2" t="inlineStr">
        <is>
          <t>Media</t>
        </is>
      </c>
      <c r="I7" s="2" t="inlineStr"/>
      <c r="J7" s="2" t="inlineStr">
        <is>
          <t>Pendiente</t>
        </is>
      </c>
      <c r="K7" s="2" t="inlineStr"/>
      <c r="L7" s="2" t="inlineStr"/>
      <c r="M7" s="2" t="inlineStr"/>
      <c r="N7" s="2" t="inlineStr"/>
    </row>
    <row r="8" ht="70" customHeight="1">
      <c r="A8" s="2" t="inlineStr">
        <is>
          <t>PF-007</t>
        </is>
      </c>
      <c r="B8" s="2" t="inlineStr">
        <is>
          <t>Entidades financieras</t>
        </is>
      </c>
      <c r="C8" s="2" t="inlineStr">
        <is>
          <t>Filtrar y ordenar entidades financieras</t>
        </is>
      </c>
      <c r="D8" s="2" t="inlineStr">
        <is>
          <t>Grilla de entidades disponible</t>
        </is>
      </c>
      <c r="E8" s="2" t="inlineStr">
        <is>
          <t>1. Aplicar filtro por nombre.
2. Ordenar columnas.
3. Limpiar filtro.</t>
        </is>
      </c>
      <c r="F8" s="2" t="inlineStr">
        <is>
          <t>Texto: CFA o banco de prueba</t>
        </is>
      </c>
      <c r="G8" s="2" t="inlineStr">
        <is>
          <t>La grilla responde a filtros y ordenamientos sin error.</t>
        </is>
      </c>
      <c r="H8" s="2" t="inlineStr">
        <is>
          <t>Baja</t>
        </is>
      </c>
      <c r="I8" s="2" t="inlineStr"/>
      <c r="J8" s="2" t="inlineStr">
        <is>
          <t>Pendiente</t>
        </is>
      </c>
      <c r="K8" s="2" t="inlineStr"/>
      <c r="L8" s="2" t="inlineStr"/>
      <c r="M8" s="2" t="inlineStr"/>
      <c r="N8" s="2" t="inlineStr"/>
    </row>
    <row r="9" ht="70" customHeight="1">
      <c r="A9" s="2" t="inlineStr">
        <is>
          <t>PF-008</t>
        </is>
      </c>
      <c r="B9" s="2" t="inlineStr">
        <is>
          <t>Ciclos ACH/CENIT</t>
        </is>
      </c>
      <c r="C9" s="2" t="inlineStr">
        <is>
          <t>Consultar ciclos CENIT</t>
        </is>
      </c>
      <c r="D9" s="2" t="inlineStr">
        <is>
          <t>Usuario autenticado</t>
        </is>
      </c>
      <c r="E9" s="2" t="inlineStr">
        <is>
          <t>1. Ingresar a ciclos.
2. Filtrar por CENIT.
3. Revisar horarios y estado.</t>
        </is>
      </c>
      <c r="F9" s="2" t="inlineStr">
        <is>
          <t>CENIT</t>
        </is>
      </c>
      <c r="G9" s="2" t="inlineStr">
        <is>
          <t>Los ciclos CENIT se visualizan con datos claros y consistentes.</t>
        </is>
      </c>
      <c r="H9" s="2" t="inlineStr">
        <is>
          <t>Alta</t>
        </is>
      </c>
      <c r="I9" s="2" t="inlineStr"/>
      <c r="J9" s="2" t="inlineStr">
        <is>
          <t>Pendiente</t>
        </is>
      </c>
      <c r="K9" s="2" t="inlineStr"/>
      <c r="L9" s="2" t="inlineStr"/>
      <c r="M9" s="2" t="inlineStr"/>
      <c r="N9" s="2" t="inlineStr"/>
    </row>
    <row r="10" ht="70" customHeight="1">
      <c r="A10" s="2" t="inlineStr">
        <is>
          <t>PF-009</t>
        </is>
      </c>
      <c r="B10" s="2" t="inlineStr">
        <is>
          <t>Ciclos ACH/CENIT</t>
        </is>
      </c>
      <c r="C10" s="2" t="inlineStr">
        <is>
          <t>Consultar ciclos ACH Colombia</t>
        </is>
      </c>
      <c r="D10" s="2" t="inlineStr">
        <is>
          <t>Usuario autenticado</t>
        </is>
      </c>
      <c r="E10" s="2" t="inlineStr">
        <is>
          <t>1. Ingresar a ciclos.
2. Filtrar por ACH Colombia.
3. Revisar horarios y estado.</t>
        </is>
      </c>
      <c r="F10" s="2" t="inlineStr">
        <is>
          <t>ACH Colombia</t>
        </is>
      </c>
      <c r="G10" s="2" t="inlineStr">
        <is>
          <t>Los ciclos ACH Colombia se visualizan y no se confunden con CENIT.</t>
        </is>
      </c>
      <c r="H10" s="2" t="inlineStr">
        <is>
          <t>Media</t>
        </is>
      </c>
      <c r="I10" s="2" t="inlineStr"/>
      <c r="J10" s="2" t="inlineStr">
        <is>
          <t>Pendiente</t>
        </is>
      </c>
      <c r="K10" s="2" t="inlineStr"/>
      <c r="L10" s="2" t="inlineStr"/>
      <c r="M10" s="2" t="inlineStr"/>
      <c r="N10" s="2" t="inlineStr"/>
    </row>
    <row r="11" ht="70" customHeight="1">
      <c r="A11" s="2" t="inlineStr">
        <is>
          <t>PF-010</t>
        </is>
      </c>
      <c r="B11" s="2" t="inlineStr">
        <is>
          <t>Configuración de ciclos</t>
        </is>
      </c>
      <c r="C11" s="2" t="inlineStr">
        <is>
          <t>Revisar configuración funcional de ciclos desde transacciones</t>
        </is>
      </c>
      <c r="D11" s="2" t="inlineStr">
        <is>
          <t>Usuario autenticado</t>
        </is>
      </c>
      <c r="E11" s="2" t="inlineStr">
        <is>
          <t>1. Ingresar a Transacciones.
2. Abrir opción de configuración de ciclos.
3. Revisar columnas y datos.</t>
        </is>
      </c>
      <c r="F11" s="2" t="inlineStr">
        <is>
          <t>CENIT / ACH Colombia</t>
        </is>
      </c>
      <c r="G11" s="2" t="inlineStr">
        <is>
          <t>La pantalla carga, muestra datos y permite interpretar la configuración funcional.</t>
        </is>
      </c>
      <c r="H11" s="2" t="inlineStr">
        <is>
          <t>Alta</t>
        </is>
      </c>
      <c r="I11" s="2" t="inlineStr"/>
      <c r="J11" s="2" t="inlineStr">
        <is>
          <t>Pendiente</t>
        </is>
      </c>
      <c r="K11" s="2" t="inlineStr"/>
      <c r="L11" s="2" t="inlineStr"/>
      <c r="M11" s="2" t="inlineStr"/>
      <c r="N11" s="2" t="inlineStr"/>
    </row>
    <row r="12" ht="70" customHeight="1">
      <c r="A12" s="2" t="inlineStr">
        <is>
          <t>PF-011</t>
        </is>
      </c>
      <c r="B12" s="2" t="inlineStr">
        <is>
          <t>Configuración de ciclos</t>
        </is>
      </c>
      <c r="C12" s="2" t="inlineStr">
        <is>
          <t>Filtrar configuración de ciclos por cámara</t>
        </is>
      </c>
      <c r="D12" s="2" t="inlineStr">
        <is>
          <t>Pantalla de configuración disponible</t>
        </is>
      </c>
      <c r="E12" s="2" t="inlineStr">
        <is>
          <t>1. Aplicar filtro por cámara.
2. Revisar resultados.
3. Limpiar filtro.</t>
        </is>
      </c>
      <c r="F12" s="2" t="inlineStr">
        <is>
          <t>CENIT</t>
        </is>
      </c>
      <c r="G12" s="2" t="inlineStr">
        <is>
          <t>El filtro devuelve información relacionada con la cámara seleccionada.</t>
        </is>
      </c>
      <c r="H12" s="2" t="inlineStr">
        <is>
          <t>Alta</t>
        </is>
      </c>
      <c r="I12" s="2" t="inlineStr"/>
      <c r="J12" s="2" t="inlineStr">
        <is>
          <t>Pendiente</t>
        </is>
      </c>
      <c r="K12" s="2" t="inlineStr"/>
      <c r="L12" s="2" t="inlineStr"/>
      <c r="M12" s="2" t="inlineStr"/>
      <c r="N12" s="2" t="inlineStr"/>
    </row>
    <row r="13" ht="70" customHeight="1">
      <c r="A13" s="2" t="inlineStr">
        <is>
          <t>PF-012</t>
        </is>
      </c>
      <c r="B13" s="2" t="inlineStr">
        <is>
          <t>Configuración de ciclos</t>
        </is>
      </c>
      <c r="C13" s="2" t="inlineStr">
        <is>
          <t>Validar mensajes en configuración incompleta</t>
        </is>
      </c>
      <c r="D13" s="2" t="inlineStr">
        <is>
          <t>Pantalla de configuración disponible</t>
        </is>
      </c>
      <c r="E13" s="2" t="inlineStr">
        <is>
          <t>1. Intentar consultar o usar un registro incompleto si existe.
2. Registrar mensaje.</t>
        </is>
      </c>
      <c r="F13" s="2" t="inlineStr">
        <is>
          <t>Registro de prueba incompleto si está disponible</t>
        </is>
      </c>
      <c r="G13" s="2" t="inlineStr">
        <is>
          <t>El sistema muestra validación controlada o información comprensible.</t>
        </is>
      </c>
      <c r="H13" s="2" t="inlineStr">
        <is>
          <t>Media</t>
        </is>
      </c>
      <c r="I13" s="2" t="inlineStr"/>
      <c r="J13" s="2" t="inlineStr">
        <is>
          <t>Pendiente</t>
        </is>
      </c>
      <c r="K13" s="2" t="inlineStr"/>
      <c r="L13" s="2" t="inlineStr"/>
      <c r="M13" s="2" t="inlineStr"/>
      <c r="N13" s="2" t="inlineStr"/>
    </row>
    <row r="14" ht="70" customHeight="1">
      <c r="A14" s="2" t="inlineStr">
        <is>
          <t>PF-013</t>
        </is>
      </c>
      <c r="B14" s="2" t="inlineStr">
        <is>
          <t>Transacciones</t>
        </is>
      </c>
      <c r="C14" s="2" t="inlineStr">
        <is>
          <t>Consultar grilla de transacciones</t>
        </is>
      </c>
      <c r="D14" s="2" t="inlineStr">
        <is>
          <t>Usuario autenticado</t>
        </is>
      </c>
      <c r="E14" s="2" t="inlineStr">
        <is>
          <t>1. Ingresar a Transacciones.
2. Esperar carga de la grilla.
3. Revisar columnas principales.</t>
        </is>
      </c>
      <c r="F14" s="2" t="inlineStr">
        <is>
          <t>N/A</t>
        </is>
      </c>
      <c r="G14" s="2" t="inlineStr">
        <is>
          <t>La grilla carga sin error y muestra información consultable.</t>
        </is>
      </c>
      <c r="H14" s="2" t="inlineStr">
        <is>
          <t>Alta</t>
        </is>
      </c>
      <c r="I14" s="2" t="inlineStr"/>
      <c r="J14" s="2" t="inlineStr">
        <is>
          <t>Pendiente</t>
        </is>
      </c>
      <c r="K14" s="2" t="inlineStr"/>
      <c r="L14" s="2" t="inlineStr"/>
      <c r="M14" s="2" t="inlineStr"/>
      <c r="N14" s="2" t="inlineStr"/>
    </row>
    <row r="15" ht="70" customHeight="1">
      <c r="A15" s="2" t="inlineStr">
        <is>
          <t>PF-014</t>
        </is>
      </c>
      <c r="B15" s="2" t="inlineStr">
        <is>
          <t>Transacciones</t>
        </is>
      </c>
      <c r="C15" s="2" t="inlineStr">
        <is>
          <t>Buscar y filtrar transacciones</t>
        </is>
      </c>
      <c r="D15" s="2" t="inlineStr">
        <is>
          <t>Grilla de transacciones disponible</t>
        </is>
      </c>
      <c r="E15" s="2" t="inlineStr">
        <is>
          <t>1. Filtrar por referencia.
2. Filtrar por cámara si existe.
3. Ordenar por fecha o estado.</t>
        </is>
      </c>
      <c r="F15" s="2" t="inlineStr">
        <is>
          <t>Referencia UAT-CENIT-001</t>
        </is>
      </c>
      <c r="G15" s="2" t="inlineStr">
        <is>
          <t>La búsqueda filtra registros de forma consistente.</t>
        </is>
      </c>
      <c r="H15" s="2" t="inlineStr">
        <is>
          <t>Media</t>
        </is>
      </c>
      <c r="I15" s="2" t="inlineStr"/>
      <c r="J15" s="2" t="inlineStr">
        <is>
          <t>Pendiente</t>
        </is>
      </c>
      <c r="K15" s="2" t="inlineStr"/>
      <c r="L15" s="2" t="inlineStr"/>
      <c r="M15" s="2" t="inlineStr"/>
      <c r="N15" s="2" t="inlineStr"/>
    </row>
    <row r="16" ht="70" customHeight="1">
      <c r="A16" s="2" t="inlineStr">
        <is>
          <t>PF-015</t>
        </is>
      </c>
      <c r="B16" s="2" t="inlineStr">
        <is>
          <t>Transacciones</t>
        </is>
      </c>
      <c r="C16" s="2" t="inlineStr">
        <is>
          <t>Crear transacción de prueba CENIT</t>
        </is>
      </c>
      <c r="D16" s="2" t="inlineStr">
        <is>
          <t>Usuario autenticado y datos de prueba definidos</t>
        </is>
      </c>
      <c r="E16" s="2" t="inlineStr">
        <is>
          <t>1. Crear nueva transacción.
2. Seleccionar CENIT.
3. Diligenciar datos de prueba.
4. Guardar.</t>
        </is>
      </c>
      <c r="F16" s="2" t="inlineStr">
        <is>
          <t>Referencia UAT-CENIT-001; valor 10.000; descripción PRUEBA FUNCIONAL LOCAL</t>
        </is>
      </c>
      <c r="G16" s="2" t="inlineStr">
        <is>
          <t>El sistema crea la transacción o muestra validación controlada entendible.</t>
        </is>
      </c>
      <c r="H16" s="2" t="inlineStr">
        <is>
          <t>Alta</t>
        </is>
      </c>
      <c r="I16" s="2" t="inlineStr"/>
      <c r="J16" s="2" t="inlineStr">
        <is>
          <t>Pendiente</t>
        </is>
      </c>
      <c r="K16" s="2" t="inlineStr"/>
      <c r="L16" s="2" t="inlineStr"/>
      <c r="M16" s="2" t="inlineStr"/>
      <c r="N16" s="2" t="inlineStr"/>
    </row>
    <row r="17" ht="70" customHeight="1">
      <c r="A17" s="2" t="inlineStr">
        <is>
          <t>PF-016</t>
        </is>
      </c>
      <c r="B17" s="2" t="inlineStr">
        <is>
          <t>Transacciones</t>
        </is>
      </c>
      <c r="C17" s="2" t="inlineStr">
        <is>
          <t>Validar control de duplicados</t>
        </is>
      </c>
      <c r="D17" s="2" t="inlineStr">
        <is>
          <t>Existe una referencia ya usada</t>
        </is>
      </c>
      <c r="E17" s="2" t="inlineStr">
        <is>
          <t>1. Crear transacción con referencia ya usada.
2. Guardar.</t>
        </is>
      </c>
      <c r="F17" s="2" t="inlineStr">
        <is>
          <t>Referencia UAT-CENIT-001 repetida</t>
        </is>
      </c>
      <c r="G17" s="2" t="inlineStr">
        <is>
          <t>El sistema evita duplicado y muestra mensaje claro.</t>
        </is>
      </c>
      <c r="H17" s="2" t="inlineStr">
        <is>
          <t>Media</t>
        </is>
      </c>
      <c r="I17" s="2" t="inlineStr"/>
      <c r="J17" s="2" t="inlineStr">
        <is>
          <t>Pendiente</t>
        </is>
      </c>
      <c r="K17" s="2" t="inlineStr"/>
      <c r="L17" s="2" t="inlineStr"/>
      <c r="M17" s="2" t="inlineStr"/>
      <c r="N17" s="2" t="inlineStr"/>
    </row>
    <row r="18" ht="70" customHeight="1">
      <c r="A18" s="2" t="inlineStr">
        <is>
          <t>PF-017</t>
        </is>
      </c>
      <c r="B18" s="2" t="inlineStr">
        <is>
          <t>Transacciones</t>
        </is>
      </c>
      <c r="C18" s="2" t="inlineStr">
        <is>
          <t>Validar campos obligatorios</t>
        </is>
      </c>
      <c r="D18" s="2" t="inlineStr">
        <is>
          <t>Formulario de transacción disponible</t>
        </is>
      </c>
      <c r="E18" s="2" t="inlineStr">
        <is>
          <t>1. Intentar guardar sin uno o más campos obligatorios.
2. Revisar mensajes.</t>
        </is>
      </c>
      <c r="F18" s="2" t="inlineStr">
        <is>
          <t>Formulario incompleto</t>
        </is>
      </c>
      <c r="G18" s="2" t="inlineStr">
        <is>
          <t>El sistema marca campos obligatorios sin error técnico.</t>
        </is>
      </c>
      <c r="H18" s="2" t="inlineStr">
        <is>
          <t>Media</t>
        </is>
      </c>
      <c r="I18" s="2" t="inlineStr"/>
      <c r="J18" s="2" t="inlineStr">
        <is>
          <t>Pendiente</t>
        </is>
      </c>
      <c r="K18" s="2" t="inlineStr"/>
      <c r="L18" s="2" t="inlineStr"/>
      <c r="M18" s="2" t="inlineStr"/>
      <c r="N18" s="2" t="inlineStr"/>
    </row>
    <row r="19" ht="70" customHeight="1">
      <c r="A19" s="2" t="inlineStr">
        <is>
          <t>PF-018</t>
        </is>
      </c>
      <c r="B19" s="2" t="inlineStr">
        <is>
          <t>Acciones de grilla</t>
        </is>
      </c>
      <c r="C19" s="2" t="inlineStr">
        <is>
          <t>Ordenar columnas en grilla de transacciones</t>
        </is>
      </c>
      <c r="D19" s="2" t="inlineStr">
        <is>
          <t>Grilla de transacciones disponible</t>
        </is>
      </c>
      <c r="E19" s="2" t="inlineStr">
        <is>
          <t>1. Ordenar por fecha.
2. Ordenar por valor.
3. Ordenar por estado.</t>
        </is>
      </c>
      <c r="F19" s="2" t="inlineStr">
        <is>
          <t>N/A</t>
        </is>
      </c>
      <c r="G19" s="2" t="inlineStr">
        <is>
          <t>El ordenamiento funciona y no altera indebidamente los datos.</t>
        </is>
      </c>
      <c r="H19" s="2" t="inlineStr">
        <is>
          <t>Baja</t>
        </is>
      </c>
      <c r="I19" s="2" t="inlineStr"/>
      <c r="J19" s="2" t="inlineStr">
        <is>
          <t>Pendiente</t>
        </is>
      </c>
      <c r="K19" s="2" t="inlineStr"/>
      <c r="L19" s="2" t="inlineStr"/>
      <c r="M19" s="2" t="inlineStr"/>
      <c r="N19" s="2" t="inlineStr"/>
    </row>
    <row r="20" ht="70" customHeight="1">
      <c r="A20" s="2" t="inlineStr">
        <is>
          <t>PF-019</t>
        </is>
      </c>
      <c r="B20" s="2" t="inlineStr">
        <is>
          <t>Acciones de grilla</t>
        </is>
      </c>
      <c r="C20" s="2" t="inlineStr">
        <is>
          <t>Aplicar filtros rápidos en grilla</t>
        </is>
      </c>
      <c r="D20" s="2" t="inlineStr">
        <is>
          <t>Grilla de transacciones disponible</t>
        </is>
      </c>
      <c r="E20" s="2" t="inlineStr">
        <is>
          <t>1. Aplicar filtro por texto.
2. Aplicar filtro por estado si existe.
3. Limpiar filtros.</t>
        </is>
      </c>
      <c r="F20" s="2" t="inlineStr">
        <is>
          <t>Texto: UAT o PRUEBA</t>
        </is>
      </c>
      <c r="G20" s="2" t="inlineStr">
        <is>
          <t>Los filtros responden y la grilla permite volver al estado inicial.</t>
        </is>
      </c>
      <c r="H20" s="2" t="inlineStr">
        <is>
          <t>Media</t>
        </is>
      </c>
      <c r="I20" s="2" t="inlineStr"/>
      <c r="J20" s="2" t="inlineStr">
        <is>
          <t>Pendiente</t>
        </is>
      </c>
      <c r="K20" s="2" t="inlineStr"/>
      <c r="L20" s="2" t="inlineStr"/>
      <c r="M20" s="2" t="inlineStr"/>
      <c r="N20" s="2" t="inlineStr"/>
    </row>
    <row r="21" ht="70" customHeight="1">
      <c r="A21" s="2" t="inlineStr">
        <is>
          <t>PF-020</t>
        </is>
      </c>
      <c r="B21" s="2" t="inlineStr">
        <is>
          <t>Acciones de grilla</t>
        </is>
      </c>
      <c r="C21" s="2" t="inlineStr">
        <is>
          <t>Ejecutar acción por fila: ver detalle</t>
        </is>
      </c>
      <c r="D21" s="2" t="inlineStr">
        <is>
          <t>Existe al menos una transacción visible</t>
        </is>
      </c>
      <c r="E21" s="2" t="inlineStr">
        <is>
          <t>1. Seleccionar una fila.
2. Presionar Ver/Detalle.
3. Revisar información.</t>
        </is>
      </c>
      <c r="F21" s="2" t="inlineStr">
        <is>
          <t>Transacción de prueba</t>
        </is>
      </c>
      <c r="G21" s="2" t="inlineStr">
        <is>
          <t>El detalle abre y corresponde a la fila seleccionada.</t>
        </is>
      </c>
      <c r="H21" s="2" t="inlineStr">
        <is>
          <t>Alta</t>
        </is>
      </c>
      <c r="I21" s="2" t="inlineStr"/>
      <c r="J21" s="2" t="inlineStr">
        <is>
          <t>Pendiente</t>
        </is>
      </c>
      <c r="K21" s="2" t="inlineStr"/>
      <c r="L21" s="2" t="inlineStr"/>
      <c r="M21" s="2" t="inlineStr"/>
      <c r="N21" s="2" t="inlineStr"/>
    </row>
    <row r="22" ht="70" customHeight="1">
      <c r="A22" s="2" t="inlineStr">
        <is>
          <t>PF-021</t>
        </is>
      </c>
      <c r="B22" s="2" t="inlineStr">
        <is>
          <t>Acciones de grilla</t>
        </is>
      </c>
      <c r="C22" s="2" t="inlineStr">
        <is>
          <t>Ejecutar acciones masivas si están habilitadas</t>
        </is>
      </c>
      <c r="D22" s="2" t="inlineStr">
        <is>
          <t>Existen registros seleccionables</t>
        </is>
      </c>
      <c r="E22" s="2" t="inlineStr">
        <is>
          <t>1. Seleccionar uno o varios registros.
2. Ejecutar acción masiva permitida.
3. Confirmar resultado.</t>
        </is>
      </c>
      <c r="F22" s="2" t="inlineStr">
        <is>
          <t>Registros de prueba</t>
        </is>
      </c>
      <c r="G22" s="2" t="inlineStr">
        <is>
          <t>La acción responde o informa claramente que no está disponible.</t>
        </is>
      </c>
      <c r="H22" s="2" t="inlineStr">
        <is>
          <t>Media</t>
        </is>
      </c>
      <c r="I22" s="2" t="inlineStr"/>
      <c r="J22" s="2" t="inlineStr">
        <is>
          <t>Pendiente</t>
        </is>
      </c>
      <c r="K22" s="2" t="inlineStr"/>
      <c r="L22" s="2" t="inlineStr"/>
      <c r="M22" s="2" t="inlineStr"/>
      <c r="N22" s="2" t="inlineStr"/>
    </row>
    <row r="23" ht="70" customHeight="1">
      <c r="A23" s="2" t="inlineStr">
        <is>
          <t>PF-022</t>
        </is>
      </c>
      <c r="B23" s="2" t="inlineStr">
        <is>
          <t>Catálogos y causales</t>
        </is>
      </c>
      <c r="C23" s="2" t="inlineStr">
        <is>
          <t>Consultar conceptos / descripciones de entrada</t>
        </is>
      </c>
      <c r="D23" s="2" t="inlineStr">
        <is>
          <t>Usuario autenticado</t>
        </is>
      </c>
      <c r="E23" s="2" t="inlineStr">
        <is>
          <t>1. Ingresar a catálogos.
2. Consultar conceptos o descripciones disponibles.</t>
        </is>
      </c>
      <c r="F23" s="2" t="inlineStr">
        <is>
          <t>N/A</t>
        </is>
      </c>
      <c r="G23" s="2" t="inlineStr">
        <is>
          <t>Los conceptos se visualizan con código y descripción comprensible.</t>
        </is>
      </c>
      <c r="H23" s="2" t="inlineStr">
        <is>
          <t>Baja</t>
        </is>
      </c>
      <c r="I23" s="2" t="inlineStr"/>
      <c r="J23" s="2" t="inlineStr">
        <is>
          <t>Pendiente</t>
        </is>
      </c>
      <c r="K23" s="2" t="inlineStr"/>
      <c r="L23" s="2" t="inlineStr"/>
      <c r="M23" s="2" t="inlineStr"/>
      <c r="N23" s="2" t="inlineStr"/>
    </row>
    <row r="24" ht="70" customHeight="1">
      <c r="A24" s="2" t="inlineStr">
        <is>
          <t>PF-023</t>
        </is>
      </c>
      <c r="B24" s="2" t="inlineStr">
        <is>
          <t>Catálogos y causales</t>
        </is>
      </c>
      <c r="C24" s="2" t="inlineStr">
        <is>
          <t>Consultar causales de devolución y rechazo</t>
        </is>
      </c>
      <c r="D24" s="2" t="inlineStr">
        <is>
          <t>Usuario autenticado</t>
        </is>
      </c>
      <c r="E24" s="2" t="inlineStr">
        <is>
          <t>1. Ingresar a causales.
2. Revisar devolución/rechazo.
3. Buscar una causal específica.</t>
        </is>
      </c>
      <c r="F24" s="2" t="inlineStr">
        <is>
          <t>Causal de prueba definida por el líder funcional</t>
        </is>
      </c>
      <c r="G24" s="2" t="inlineStr">
        <is>
          <t>Los códigos y descripciones se muestran claramente.</t>
        </is>
      </c>
      <c r="H24" s="2" t="inlineStr">
        <is>
          <t>Alta</t>
        </is>
      </c>
      <c r="I24" s="2" t="inlineStr"/>
      <c r="J24" s="2" t="inlineStr">
        <is>
          <t>Pendiente</t>
        </is>
      </c>
      <c r="K24" s="2" t="inlineStr"/>
      <c r="L24" s="2" t="inlineStr"/>
      <c r="M24" s="2" t="inlineStr"/>
      <c r="N24" s="2" t="inlineStr"/>
    </row>
    <row r="25" ht="70" customHeight="1">
      <c r="A25" s="2" t="inlineStr">
        <is>
          <t>PF-024</t>
        </is>
      </c>
      <c r="B25" s="2" t="inlineStr">
        <is>
          <t>Devoluciones / rechazos</t>
        </is>
      </c>
      <c r="C25" s="2" t="inlineStr">
        <is>
          <t>Simular devolución o rechazo cuando aplique</t>
        </is>
      </c>
      <c r="D25" s="2" t="inlineStr">
        <is>
          <t>Existe transacción de prueba elegible</t>
        </is>
      </c>
      <c r="E25" s="2" t="inlineStr">
        <is>
          <t>1. Seleccionar transacción de prueba.
2. Ejecutar acción de devolución/rechazo si está disponible.
3. Seleccionar causal.</t>
        </is>
      </c>
      <c r="F25" s="2" t="inlineStr">
        <is>
          <t>Transacción UAT; causal de prueba</t>
        </is>
      </c>
      <c r="G25" s="2" t="inlineStr">
        <is>
          <t>El sistema registra o valida la acción con mensaje controlado.</t>
        </is>
      </c>
      <c r="H25" s="2" t="inlineStr">
        <is>
          <t>Alta</t>
        </is>
      </c>
      <c r="I25" s="2" t="inlineStr"/>
      <c r="J25" s="2" t="inlineStr">
        <is>
          <t>Pendiente</t>
        </is>
      </c>
      <c r="K25" s="2" t="inlineStr"/>
      <c r="L25" s="2" t="inlineStr"/>
      <c r="M25" s="2" t="inlineStr"/>
      <c r="N25" s="2" t="inlineStr"/>
    </row>
    <row r="26" ht="70" customHeight="1">
      <c r="A26" s="2" t="inlineStr">
        <is>
          <t>PF-025</t>
        </is>
      </c>
      <c r="B26" s="2" t="inlineStr">
        <is>
          <t>Perfiles por cámara</t>
        </is>
      </c>
      <c r="C26" s="2" t="inlineStr">
        <is>
          <t>Validar parametrización visible por cámara</t>
        </is>
      </c>
      <c r="D26" s="2" t="inlineStr">
        <is>
          <t>Usuario autenticado</t>
        </is>
      </c>
      <c r="E26" s="2" t="inlineStr">
        <is>
          <t>1. Consultar parámetros o perfiles visibles.
2. Cambiar entre ACH Colombia y CENIT.
3. Comparar información.</t>
        </is>
      </c>
      <c r="F26" s="2" t="inlineStr">
        <is>
          <t>ACH Colombia / CENIT</t>
        </is>
      </c>
      <c r="G26" s="2" t="inlineStr">
        <is>
          <t>La parametrización visible corresponde a la cámara seleccionada.</t>
        </is>
      </c>
      <c r="H26" s="2" t="inlineStr">
        <is>
          <t>Alta</t>
        </is>
      </c>
      <c r="I26" s="2" t="inlineStr"/>
      <c r="J26" s="2" t="inlineStr">
        <is>
          <t>Pendiente</t>
        </is>
      </c>
      <c r="K26" s="2" t="inlineStr"/>
      <c r="L26" s="2" t="inlineStr"/>
      <c r="M26" s="2" t="inlineStr"/>
      <c r="N26" s="2" t="inlineStr"/>
    </row>
    <row r="27" ht="70" customHeight="1">
      <c r="A27" s="2" t="inlineStr">
        <is>
          <t>PF-026</t>
        </is>
      </c>
      <c r="B27" s="2" t="inlineStr">
        <is>
          <t>Transacciones</t>
        </is>
      </c>
      <c r="C27" s="2" t="inlineStr">
        <is>
          <t>Validar cambio de estado después de acción</t>
        </is>
      </c>
      <c r="D27" s="2" t="inlineStr">
        <is>
          <t>Transacción de prueba creada</t>
        </is>
      </c>
      <c r="E27" s="2" t="inlineStr">
        <is>
          <t>1. Ejecutar acción disponible.
2. Volver a consultar la transacción.
3. Revisar estado.</t>
        </is>
      </c>
      <c r="F27" s="2" t="inlineStr">
        <is>
          <t>Transacción UAT-CENIT-001</t>
        </is>
      </c>
      <c r="G27" s="2" t="inlineStr">
        <is>
          <t>El estado se actualiza o se informa por qué no cambió.</t>
        </is>
      </c>
      <c r="H27" s="2" t="inlineStr">
        <is>
          <t>Alta</t>
        </is>
      </c>
      <c r="I27" s="2" t="inlineStr"/>
      <c r="J27" s="2" t="inlineStr">
        <is>
          <t>Pendiente</t>
        </is>
      </c>
      <c r="K27" s="2" t="inlineStr"/>
      <c r="L27" s="2" t="inlineStr"/>
      <c r="M27" s="2" t="inlineStr"/>
      <c r="N27" s="2" t="inlineStr"/>
    </row>
    <row r="28" ht="70" customHeight="1">
      <c r="A28" s="2" t="inlineStr">
        <is>
          <t>PF-027</t>
        </is>
      </c>
      <c r="B28" s="2" t="inlineStr">
        <is>
          <t>Transacciones</t>
        </is>
      </c>
      <c r="C28" s="2" t="inlineStr">
        <is>
          <t>Validar mensajes de error funcional</t>
        </is>
      </c>
      <c r="D28" s="2" t="inlineStr">
        <is>
          <t>Formulario disponible</t>
        </is>
      </c>
      <c r="E28" s="2" t="inlineStr">
        <is>
          <t>1. Ejecutar un caso inválido controlado.
2. Registrar mensaje exacto.</t>
        </is>
      </c>
      <c r="F28" s="2" t="inlineStr">
        <is>
          <t>Dato inválido de prueba</t>
        </is>
      </c>
      <c r="G28" s="2" t="inlineStr">
        <is>
          <t>El mensaje permite entender la causa sin información técnica innecesaria.</t>
        </is>
      </c>
      <c r="H28" s="2" t="inlineStr">
        <is>
          <t>Media</t>
        </is>
      </c>
      <c r="I28" s="2" t="inlineStr"/>
      <c r="J28" s="2" t="inlineStr">
        <is>
          <t>Pendiente</t>
        </is>
      </c>
      <c r="K28" s="2" t="inlineStr"/>
      <c r="L28" s="2" t="inlineStr"/>
      <c r="M28" s="2" t="inlineStr"/>
      <c r="N28" s="2" t="inlineStr"/>
    </row>
    <row r="29" ht="70" customHeight="1">
      <c r="A29" s="2" t="inlineStr">
        <is>
          <t>PF-028</t>
        </is>
      </c>
      <c r="B29" s="2" t="inlineStr">
        <is>
          <t>Reporte de incidencias</t>
        </is>
      </c>
      <c r="C29" s="2" t="inlineStr">
        <is>
          <t>Adjuntar evidencia de prueba exitosa</t>
        </is>
      </c>
      <c r="D29" s="2" t="inlineStr">
        <is>
          <t>Escenario ejecutado</t>
        </is>
      </c>
      <c r="E29" s="2" t="inlineStr">
        <is>
          <t>1. Tomar captura del resultado.
2. Registrar ruta o nombre de archivo en matriz.</t>
        </is>
      </c>
      <c r="F29" s="2" t="inlineStr">
        <is>
          <t>Captura PF-XXX.png</t>
        </is>
      </c>
      <c r="G29" s="2" t="inlineStr">
        <is>
          <t>La evidencia queda asociada al escenario.</t>
        </is>
      </c>
      <c r="H29" s="2" t="inlineStr">
        <is>
          <t>Baja</t>
        </is>
      </c>
      <c r="I29" s="2" t="inlineStr"/>
      <c r="J29" s="2" t="inlineStr">
        <is>
          <t>Pendiente</t>
        </is>
      </c>
      <c r="K29" s="2" t="inlineStr"/>
      <c r="L29" s="2" t="inlineStr"/>
      <c r="M29" s="2" t="inlineStr"/>
      <c r="N29" s="2" t="inlineStr"/>
    </row>
    <row r="30" ht="70" customHeight="1">
      <c r="A30" s="2" t="inlineStr">
        <is>
          <t>PF-029</t>
        </is>
      </c>
      <c r="B30" s="2" t="inlineStr">
        <is>
          <t>Reporte de incidencias</t>
        </is>
      </c>
      <c r="C30" s="2" t="inlineStr">
        <is>
          <t>Marcar escenario bloqueado</t>
        </is>
      </c>
      <c r="D30" s="2" t="inlineStr">
        <is>
          <t>Existe una falla que impide continuar</t>
        </is>
      </c>
      <c r="E30" s="2" t="inlineStr">
        <is>
          <t>1. Marcar estado Bloqueado.
2. Registrar motivo.
3. Crear incidencia asociada.</t>
        </is>
      </c>
      <c r="F30" s="2" t="inlineStr">
        <is>
          <t>N/A</t>
        </is>
      </c>
      <c r="G30" s="2" t="inlineStr">
        <is>
          <t>El bloqueo queda documentado con explicación y evidencia.</t>
        </is>
      </c>
      <c r="H30" s="2" t="inlineStr">
        <is>
          <t>Alta</t>
        </is>
      </c>
      <c r="I30" s="2" t="inlineStr"/>
      <c r="J30" s="2" t="inlineStr">
        <is>
          <t>Pendiente</t>
        </is>
      </c>
      <c r="K30" s="2" t="inlineStr"/>
      <c r="L30" s="2" t="inlineStr"/>
      <c r="M30" s="2" t="inlineStr"/>
      <c r="N30" s="2" t="inlineStr"/>
    </row>
    <row r="31" ht="70" customHeight="1">
      <c r="A31" s="2" t="inlineStr">
        <is>
          <t>PF-030</t>
        </is>
      </c>
      <c r="B31" s="2" t="inlineStr">
        <is>
          <t>Reporte de incidencias</t>
        </is>
      </c>
      <c r="C31" s="2" t="inlineStr">
        <is>
          <t>Registrar incidencia completa</t>
        </is>
      </c>
      <c r="D31" s="2" t="inlineStr">
        <is>
          <t>Se detectó un hallazgo</t>
        </is>
      </c>
      <c r="E31" s="2" t="inlineStr">
        <is>
          <t>1. Abrir formato de incidencias.
2. Registrar módulo, pasos, esperado, obtenido y evidencia.
3. Asignar prioridad.</t>
        </is>
      </c>
      <c r="F31" s="2" t="inlineStr">
        <is>
          <t>Incidencia INC-001</t>
        </is>
      </c>
      <c r="G31" s="2" t="inlineStr">
        <is>
          <t>La incidencia queda suficientemente documentada para análisis posterior.</t>
        </is>
      </c>
      <c r="H31" s="2" t="inlineStr">
        <is>
          <t>Alta</t>
        </is>
      </c>
      <c r="I31" s="2" t="inlineStr"/>
      <c r="J31" s="2" t="inlineStr">
        <is>
          <t>Pendiente</t>
        </is>
      </c>
      <c r="K31" s="2" t="inlineStr"/>
      <c r="L31" s="2" t="inlineStr"/>
      <c r="M31" s="2" t="inlineStr"/>
      <c r="N31" s="2" t="inlineStr"/>
    </row>
  </sheetData>
  <autoFilter ref="A1:N31"/>
  <conditionalFormatting sqref="J2:J300">
    <cfRule type="expression" priority="1" dxfId="0">
      <formula>$J2="Exitoso"</formula>
    </cfRule>
    <cfRule type="expression" priority="2" dxfId="1">
      <formula>$J2="Fallido"</formula>
    </cfRule>
    <cfRule type="expression" priority="3" dxfId="2">
      <formula>$J2="Bloqueado"</formula>
    </cfRule>
    <cfRule type="expression" priority="4" dxfId="3">
      <formula>$J2="Pendiente"</formula>
    </cfRule>
  </conditionalFormatting>
  <dataValidations count="2">
    <dataValidation sqref="J2:J300" showDropDown="0" showInputMessage="0" showErrorMessage="0" allowBlank="1" type="list">
      <formula1>"Pendiente,En ejecución,Exitoso,Fallido,Bloqueado,No aplica"</formula1>
    </dataValidation>
    <dataValidation sqref="H2:H300" showDropDown="0" showInputMessage="0" showErrorMessage="0" allowBlank="1" type="list">
      <formula1>"Alta,Media,Baja"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Matriz de escenarios de prueba - ACH Interbank / CENIT</t>
        </is>
      </c>
    </row>
    <row r="2">
      <c r="A2" s="4" t="inlineStr">
        <is>
          <t>Versión base: 2026-06-13</t>
        </is>
      </c>
    </row>
    <row r="4">
      <c r="A4" s="5" t="inlineStr">
        <is>
          <t>Objetivo</t>
        </is>
      </c>
      <c r="B4" s="2" t="inlineStr">
        <is>
          <t>Registrar avance de pruebas funcionales locales para usuarios no técnicos.</t>
        </is>
      </c>
    </row>
    <row r="5">
      <c r="A5" s="5" t="inlineStr">
        <is>
          <t>Uso</t>
        </is>
      </c>
      <c r="B5" s="2" t="inlineStr">
        <is>
          <t>Ejecutar los escenarios en orden, actualizar Estado, Fecha prueba, Evidencia, Observaciones e Incidencia asociada.</t>
        </is>
      </c>
    </row>
    <row r="6">
      <c r="A6" s="5" t="inlineStr">
        <is>
          <t>Estados permitidos</t>
        </is>
      </c>
      <c r="B6" s="2" t="inlineStr">
        <is>
          <t>Pendiente, En ejecución, Exitoso, Fallido, Bloqueado, No aplica</t>
        </is>
      </c>
    </row>
    <row r="7">
      <c r="A7" s="5" t="inlineStr">
        <is>
          <t>Prioridades</t>
        </is>
      </c>
      <c r="B7" s="2" t="inlineStr">
        <is>
          <t>Alta = bloquea o afecta flujo principal; Media = afecta parcialmente; Baja = visual/texto/mejora menor.</t>
        </is>
      </c>
    </row>
    <row r="8">
      <c r="A8" s="5" t="inlineStr">
        <is>
          <t>Datos de prueba</t>
        </is>
      </c>
      <c r="B8" s="2" t="inlineStr">
        <is>
          <t>Usar referencias UAT-CENIT-001, UAT-ACH-001, valores pequeños y descripción PRUEBA FUNCIONAL LOCAL.</t>
        </is>
      </c>
    </row>
    <row r="9">
      <c r="A9" s="5" t="inlineStr">
        <is>
          <t>Restricción</t>
        </is>
      </c>
      <c r="B9" s="2" t="inlineStr">
        <is>
          <t>No usar datos reales ni modificar base de datos, servicios, código o configuración técnica.</t>
        </is>
      </c>
    </row>
    <row r="10">
      <c r="A10" s="5" t="inlineStr">
        <is>
          <t>Evidencia</t>
        </is>
      </c>
      <c r="B10" s="2" t="inlineStr">
        <is>
          <t>Guardar capturas con nombre claro, por ejemplo PF-015_creacion_transaccion.png.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" customWidth="1" min="3" max="3"/>
    <col width="30" customWidth="1" min="4" max="4"/>
    <col width="18" customWidth="1" min="5" max="5"/>
  </cols>
  <sheetData>
    <row r="1">
      <c r="A1" s="3" t="inlineStr">
        <is>
          <t>Resumen de avance</t>
        </is>
      </c>
    </row>
    <row r="3">
      <c r="A3" s="6" t="inlineStr">
        <is>
          <t>Estado</t>
        </is>
      </c>
      <c r="B3" s="6" t="inlineStr">
        <is>
          <t>Cantidad</t>
        </is>
      </c>
      <c r="D3" s="6" t="inlineStr">
        <is>
          <t>Módulo</t>
        </is>
      </c>
      <c r="E3" s="6" t="inlineStr">
        <is>
          <t>Total escenarios</t>
        </is>
      </c>
    </row>
    <row r="4">
      <c r="A4" s="2" t="inlineStr">
        <is>
          <t>Pendiente</t>
        </is>
      </c>
      <c r="B4" s="2">
        <f>COUNTIF(Escenarios!$J:$J,A4)</f>
        <v/>
      </c>
      <c r="D4" s="2" t="inlineStr">
        <is>
          <t>Login y navegación</t>
        </is>
      </c>
      <c r="E4" s="2">
        <f>COUNTIF(Escenarios!$B:$B,D4)</f>
        <v/>
      </c>
    </row>
    <row r="5">
      <c r="A5" s="2" t="inlineStr">
        <is>
          <t>En ejecución</t>
        </is>
      </c>
      <c r="B5" s="2">
        <f>COUNTIF(Escenarios!$J:$J,A5)</f>
        <v/>
      </c>
      <c r="D5" s="2" t="inlineStr">
        <is>
          <t>Menú / navegación</t>
        </is>
      </c>
      <c r="E5" s="2">
        <f>COUNTIF(Escenarios!$B:$B,D5)</f>
        <v/>
      </c>
    </row>
    <row r="6">
      <c r="A6" s="2" t="inlineStr">
        <is>
          <t>Exitoso</t>
        </is>
      </c>
      <c r="B6" s="2">
        <f>COUNTIF(Escenarios!$J:$J,A6)</f>
        <v/>
      </c>
      <c r="D6" s="2" t="inlineStr">
        <is>
          <t>Cámaras de compensación</t>
        </is>
      </c>
      <c r="E6" s="2">
        <f>COUNTIF(Escenarios!$B:$B,D6)</f>
        <v/>
      </c>
    </row>
    <row r="7">
      <c r="A7" s="2" t="inlineStr">
        <is>
          <t>Fallido</t>
        </is>
      </c>
      <c r="B7" s="2">
        <f>COUNTIF(Escenarios!$J:$J,A7)</f>
        <v/>
      </c>
      <c r="D7" s="2" t="inlineStr">
        <is>
          <t>Entidades financieras</t>
        </is>
      </c>
      <c r="E7" s="2">
        <f>COUNTIF(Escenarios!$B:$B,D7)</f>
        <v/>
      </c>
    </row>
    <row r="8">
      <c r="A8" s="2" t="inlineStr">
        <is>
          <t>Bloqueado</t>
        </is>
      </c>
      <c r="B8" s="2">
        <f>COUNTIF(Escenarios!$J:$J,A8)</f>
        <v/>
      </c>
      <c r="D8" s="2" t="inlineStr">
        <is>
          <t>Ciclos ACH/CENIT</t>
        </is>
      </c>
      <c r="E8" s="2">
        <f>COUNTIF(Escenarios!$B:$B,D8)</f>
        <v/>
      </c>
    </row>
    <row r="9">
      <c r="A9" s="2" t="inlineStr">
        <is>
          <t>No aplica</t>
        </is>
      </c>
      <c r="B9" s="2">
        <f>COUNTIF(Escenarios!$J:$J,A9)</f>
        <v/>
      </c>
      <c r="D9" s="2" t="inlineStr">
        <is>
          <t>Configuración de ciclos</t>
        </is>
      </c>
      <c r="E9" s="2">
        <f>COUNTIF(Escenarios!$B:$B,D9)</f>
        <v/>
      </c>
    </row>
    <row r="10">
      <c r="A10" s="2" t="n"/>
      <c r="B10" s="2" t="n"/>
      <c r="D10" s="2" t="inlineStr">
        <is>
          <t>Transacciones</t>
        </is>
      </c>
      <c r="E10" s="2">
        <f>COUNTIF(Escenarios!$B:$B,D10)</f>
        <v/>
      </c>
    </row>
    <row r="11">
      <c r="A11" s="2" t="n"/>
      <c r="B11" s="2" t="n"/>
      <c r="D11" s="2" t="inlineStr">
        <is>
          <t>Acciones de grilla</t>
        </is>
      </c>
      <c r="E11" s="2">
        <f>COUNTIF(Escenarios!$B:$B,D11)</f>
        <v/>
      </c>
    </row>
    <row r="12">
      <c r="A12" s="2" t="inlineStr">
        <is>
          <t>Total escenarios</t>
        </is>
      </c>
      <c r="B12" s="2">
        <f>COUNTA(Escenarios!$A:$A)-1</f>
        <v/>
      </c>
      <c r="D12" s="2" t="inlineStr">
        <is>
          <t>Catálogos y causales</t>
        </is>
      </c>
      <c r="E12" s="2">
        <f>COUNTIF(Escenarios!$B:$B,D12)</f>
        <v/>
      </c>
    </row>
    <row r="13">
      <c r="A13" s="2" t="inlineStr">
        <is>
          <t>Avance exitoso</t>
        </is>
      </c>
      <c r="B13" s="7">
        <f>IF(B12=0,0,COUNTIF(Escenarios!$J:$J,"Exitoso")/B12)</f>
        <v/>
      </c>
      <c r="D13" s="2" t="inlineStr">
        <is>
          <t>Perfiles por cámara</t>
        </is>
      </c>
      <c r="E13" s="2">
        <f>COUNTIF(Escenarios!$B:$B,D13)</f>
        <v/>
      </c>
    </row>
    <row r="14">
      <c r="A14" s="2" t="inlineStr">
        <is>
          <t>Pendientes/Bloqueados/Fallidos</t>
        </is>
      </c>
      <c r="B14" s="2">
        <f>SUM(COUNTIF(Escenarios!$J:$J,{"Pendiente","Bloqueado","Fallido"}))</f>
        <v/>
      </c>
      <c r="D14" s="2" t="inlineStr">
        <is>
          <t>Devoluciones / rechazos</t>
        </is>
      </c>
      <c r="E14" s="2">
        <f>COUNTIF(Escenarios!$B:$B,D14)</f>
        <v/>
      </c>
    </row>
    <row r="15">
      <c r="D15" s="2" t="inlineStr">
        <is>
          <t>Reporte de incidencias</t>
        </is>
      </c>
      <c r="E15" s="2">
        <f>COUNTIF(Escenarios!$B:$B,D15)</f>
        <v/>
      </c>
    </row>
  </sheetData>
  <conditionalFormatting sqref="B13">
    <cfRule type="cellIs" priority="1" operator="greaterThanOrEqual" dxfId="0">
      <formula>0.8</formula>
    </cfRule>
    <cfRule type="cellIs" priority="2" operator="lessThan" dxfId="2">
      <formula>0.8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</cols>
  <sheetData>
    <row r="1">
      <c r="A1" s="6" t="inlineStr">
        <is>
          <t>Estados permitidos</t>
        </is>
      </c>
      <c r="B1" s="6" t="inlineStr">
        <is>
          <t>Prioridades</t>
        </is>
      </c>
      <c r="C1" s="6" t="inlineStr">
        <is>
          <t>Módulos</t>
        </is>
      </c>
    </row>
    <row r="2">
      <c r="A2" s="2" t="inlineStr">
        <is>
          <t>Pendiente</t>
        </is>
      </c>
      <c r="B2" s="2" t="inlineStr">
        <is>
          <t>Alta</t>
        </is>
      </c>
      <c r="C2" s="2" t="inlineStr">
        <is>
          <t>Login y navegación</t>
        </is>
      </c>
    </row>
    <row r="3">
      <c r="A3" s="2" t="inlineStr">
        <is>
          <t>En ejecución</t>
        </is>
      </c>
      <c r="B3" s="2" t="inlineStr">
        <is>
          <t>Media</t>
        </is>
      </c>
      <c r="C3" s="2" t="inlineStr">
        <is>
          <t>Menú / navegación</t>
        </is>
      </c>
    </row>
    <row r="4">
      <c r="A4" s="2" t="inlineStr">
        <is>
          <t>Exitoso</t>
        </is>
      </c>
      <c r="B4" s="2" t="inlineStr">
        <is>
          <t>Baja</t>
        </is>
      </c>
      <c r="C4" s="2" t="inlineStr">
        <is>
          <t>Cámaras de compensación</t>
        </is>
      </c>
    </row>
    <row r="5">
      <c r="A5" s="2" t="inlineStr">
        <is>
          <t>Fallido</t>
        </is>
      </c>
      <c r="B5" s="2" t="inlineStr"/>
      <c r="C5" s="2" t="inlineStr">
        <is>
          <t>Entidades financieras</t>
        </is>
      </c>
    </row>
    <row r="6">
      <c r="A6" s="2" t="inlineStr">
        <is>
          <t>Bloqueado</t>
        </is>
      </c>
      <c r="B6" s="2" t="inlineStr"/>
      <c r="C6" s="2" t="inlineStr">
        <is>
          <t>Ciclos ACH/CENIT</t>
        </is>
      </c>
    </row>
    <row r="7">
      <c r="A7" s="2" t="inlineStr">
        <is>
          <t>No aplica</t>
        </is>
      </c>
      <c r="B7" s="2" t="inlineStr"/>
      <c r="C7" s="2" t="inlineStr">
        <is>
          <t>Configuración de ciclos</t>
        </is>
      </c>
    </row>
    <row r="8">
      <c r="A8" s="2" t="inlineStr"/>
      <c r="B8" s="2" t="inlineStr"/>
      <c r="C8" s="2" t="inlineStr">
        <is>
          <t>Transacciones</t>
        </is>
      </c>
    </row>
    <row r="9">
      <c r="A9" s="2" t="inlineStr"/>
      <c r="B9" s="2" t="inlineStr"/>
      <c r="C9" s="2" t="inlineStr">
        <is>
          <t>Acciones de grilla</t>
        </is>
      </c>
    </row>
    <row r="10">
      <c r="A10" s="2" t="inlineStr"/>
      <c r="B10" s="2" t="inlineStr"/>
      <c r="C10" s="2" t="inlineStr">
        <is>
          <t>Catálogos y causales</t>
        </is>
      </c>
    </row>
    <row r="11">
      <c r="A11" s="2" t="inlineStr"/>
      <c r="B11" s="2" t="inlineStr"/>
      <c r="C11" s="2" t="inlineStr">
        <is>
          <t>Perfiles por cámara</t>
        </is>
      </c>
    </row>
    <row r="12">
      <c r="A12" s="2" t="inlineStr"/>
      <c r="B12" s="2" t="inlineStr"/>
      <c r="C12" s="2" t="inlineStr">
        <is>
          <t>Devoluciones / rechazos</t>
        </is>
      </c>
    </row>
    <row r="13">
      <c r="A13" s="2" t="inlineStr"/>
      <c r="B13" s="2" t="inlineStr"/>
      <c r="C13" s="2" t="inlineStr">
        <is>
          <t>Reporte de incidencias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2026-06-13T14:38:32Z</dcterms:created>
  <dcterms:modified xmlns:dcterms="http://purl.org/dc/terms/" xmlns:xsi="http://www.w3.org/2001/XMLSchema-instance" xsi:type="dcterms:W3CDTF">2026-06-13T14:38:32Z</dcterms:modified>
</cp:coreProperties>
</file>